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xge\Dropbox\GEMA\RESEARCH\PURGE\original_data\TFR_year_country\"/>
    </mc:Choice>
  </mc:AlternateContent>
  <xr:revisionPtr revIDLastSave="0" documentId="13_ncr:1_{9FB99035-D04B-4F54-BC8B-4F4A425AFA6A}" xr6:coauthVersionLast="47" xr6:coauthVersionMax="47" xr10:uidLastSave="{00000000-0000-0000-0000-000000000000}"/>
  <bookViews>
    <workbookView xWindow="-110" yWindow="-110" windowWidth="19420" windowHeight="10300" activeTab="1" xr2:uid="{51BE14E3-53B8-4E61-9991-C3EBE87027D8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5" i="3" s="1"/>
  <c r="B6" i="3" s="1"/>
  <c r="B7" i="3" s="1"/>
  <c r="B8" i="3" s="1"/>
  <c r="B3" i="3"/>
  <c r="Z4" i="1"/>
  <c r="AA4" i="1"/>
  <c r="AB4" i="1"/>
  <c r="S4" i="1"/>
  <c r="R4" i="1"/>
  <c r="Q4" i="1"/>
  <c r="P4" i="1"/>
  <c r="Y4" i="1" s="1"/>
  <c r="O4" i="1"/>
  <c r="X4" i="1" s="1"/>
  <c r="N4" i="1"/>
  <c r="W4" i="1" s="1"/>
  <c r="M4" i="1"/>
  <c r="V4" i="1" s="1"/>
  <c r="Z3" i="1"/>
  <c r="AA3" i="1"/>
  <c r="AB3" i="1"/>
  <c r="S3" i="1"/>
  <c r="R3" i="1"/>
  <c r="Q3" i="1"/>
  <c r="P3" i="1"/>
  <c r="Y3" i="1" s="1"/>
  <c r="O3" i="1"/>
  <c r="X3" i="1" s="1"/>
  <c r="N3" i="1"/>
  <c r="W3" i="1" s="1"/>
  <c r="M3" i="1"/>
  <c r="V3" i="1" s="1"/>
  <c r="W7" i="1" s="1"/>
  <c r="W8" i="1" s="1"/>
  <c r="A4" i="1"/>
  <c r="X7" i="1" l="1"/>
  <c r="W9" i="1" s="1"/>
</calcChain>
</file>

<file path=xl/sharedStrings.xml><?xml version="1.0" encoding="utf-8"?>
<sst xmlns="http://schemas.openxmlformats.org/spreadsheetml/2006/main" count="63" uniqueCount="47">
  <si>
    <t>year</t>
  </si>
  <si>
    <t>age_less15</t>
  </si>
  <si>
    <t>age_15_19</t>
  </si>
  <si>
    <t>age_20_24</t>
  </si>
  <si>
    <t>age_25_29</t>
  </si>
  <si>
    <t>age_30_34</t>
  </si>
  <si>
    <t>age_35_39</t>
  </si>
  <si>
    <t>age_40_44</t>
  </si>
  <si>
    <t>age_45_49</t>
  </si>
  <si>
    <t>age_from50</t>
  </si>
  <si>
    <t>no_consta</t>
  </si>
  <si>
    <t>number_years</t>
  </si>
  <si>
    <t>birth_no_consta</t>
  </si>
  <si>
    <t>birth_15_19</t>
  </si>
  <si>
    <t>birth_20_24</t>
  </si>
  <si>
    <t>birth_less15</t>
  </si>
  <si>
    <t>pop_14</t>
  </si>
  <si>
    <t>pop_15_19</t>
  </si>
  <si>
    <t>pop_20_24</t>
  </si>
  <si>
    <t>pop_25_29</t>
  </si>
  <si>
    <t>birth_45_49</t>
  </si>
  <si>
    <t>birth_35_39</t>
  </si>
  <si>
    <t>birth_40_44</t>
  </si>
  <si>
    <t>birth_30_34</t>
  </si>
  <si>
    <t>birth_25_29</t>
  </si>
  <si>
    <t>birth_from50</t>
  </si>
  <si>
    <t>TF_15_19</t>
  </si>
  <si>
    <t>TF_20_24</t>
  </si>
  <si>
    <t>TF_25_29</t>
  </si>
  <si>
    <t>TF_30_34</t>
  </si>
  <si>
    <t>TF_35_39</t>
  </si>
  <si>
    <t>TF_40_44</t>
  </si>
  <si>
    <t>TF_45_49</t>
  </si>
  <si>
    <t>sum</t>
  </si>
  <si>
    <t>TFR1940</t>
  </si>
  <si>
    <t>pop_45_49</t>
  </si>
  <si>
    <t>pop_40_44</t>
  </si>
  <si>
    <t>pop_35_39</t>
  </si>
  <si>
    <t>pop_30_34</t>
  </si>
  <si>
    <t>pop_from50</t>
  </si>
  <si>
    <t>pop_no_consta</t>
  </si>
  <si>
    <t>TFR1930</t>
  </si>
  <si>
    <t>Total fertility rate</t>
  </si>
  <si>
    <t>source</t>
  </si>
  <si>
    <t>UN</t>
  </si>
  <si>
    <t>INE</t>
  </si>
  <si>
    <t>Statista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</si>
</sst>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0" xfId="0" applyFill="1"/>
    <xf numFmtId="0" fontId="1" fillId="0" borderId="0" xfId="0" applyFont="1"/>
    <xf numFmtId="0" fontId="0" fillId="0" borderId="0" xfId="0" applyNumberFormat="1"/>
    <xf numFmtId="0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50F-459C-9D8C-B01E7B222930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50F-459C-9D8C-B01E7B222930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50F-459C-9D8C-B01E7B222930}"/>
              </c:ext>
            </c:extLst>
          </c:dPt>
          <c:dPt>
            <c:idx val="8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50F-459C-9D8C-B01E7B222930}"/>
              </c:ext>
            </c:extLst>
          </c:dPt>
          <c:cat>
            <c:numRef>
              <c:f>Sheet3!$B$2:$B$19</c:f>
              <c:numCache>
                <c:formatCode>General</c:formatCode>
                <c:ptCount val="18"/>
                <c:pt idx="0">
                  <c:v>2020</c:v>
                </c:pt>
                <c:pt idx="1">
                  <c:v>2010</c:v>
                </c:pt>
                <c:pt idx="2">
                  <c:v>2000</c:v>
                </c:pt>
                <c:pt idx="3">
                  <c:v>1990</c:v>
                </c:pt>
                <c:pt idx="4">
                  <c:v>1980</c:v>
                </c:pt>
                <c:pt idx="5">
                  <c:v>1970</c:v>
                </c:pt>
                <c:pt idx="6">
                  <c:v>1960</c:v>
                </c:pt>
                <c:pt idx="7">
                  <c:v>1950</c:v>
                </c:pt>
                <c:pt idx="8">
                  <c:v>1940</c:v>
                </c:pt>
                <c:pt idx="9">
                  <c:v>1930</c:v>
                </c:pt>
                <c:pt idx="10">
                  <c:v>1920</c:v>
                </c:pt>
                <c:pt idx="11">
                  <c:v>1910</c:v>
                </c:pt>
                <c:pt idx="12">
                  <c:v>1900</c:v>
                </c:pt>
                <c:pt idx="13">
                  <c:v>1890</c:v>
                </c:pt>
                <c:pt idx="14">
                  <c:v>1880</c:v>
                </c:pt>
                <c:pt idx="15">
                  <c:v>1870</c:v>
                </c:pt>
                <c:pt idx="16">
                  <c:v>1860</c:v>
                </c:pt>
                <c:pt idx="17">
                  <c:v>1850</c:v>
                </c:pt>
              </c:numCache>
            </c:numRef>
          </c:cat>
          <c:val>
            <c:numRef>
              <c:f>Sheet3!$C$2:$C$19</c:f>
              <c:numCache>
                <c:formatCode>General</c:formatCode>
                <c:ptCount val="18"/>
                <c:pt idx="0">
                  <c:v>1.2364919999999999</c:v>
                </c:pt>
                <c:pt idx="1">
                  <c:v>1.375176</c:v>
                </c:pt>
                <c:pt idx="2">
                  <c:v>1.215916</c:v>
                </c:pt>
                <c:pt idx="3">
                  <c:v>1.358806</c:v>
                </c:pt>
                <c:pt idx="4">
                  <c:v>2.2139730000000002</c:v>
                </c:pt>
                <c:pt idx="5">
                  <c:v>2.828519</c:v>
                </c:pt>
                <c:pt idx="6">
                  <c:v>2.7825820000000001</c:v>
                </c:pt>
                <c:pt idx="7">
                  <c:v>2.4704269999999999</c:v>
                </c:pt>
                <c:pt idx="8">
                  <c:v>2.9386643673475334</c:v>
                </c:pt>
                <c:pt idx="9">
                  <c:v>3.5786623105490998</c:v>
                </c:pt>
                <c:pt idx="10">
                  <c:v>4.17</c:v>
                </c:pt>
                <c:pt idx="11">
                  <c:v>4.5199999999999996</c:v>
                </c:pt>
                <c:pt idx="12">
                  <c:v>4.54</c:v>
                </c:pt>
                <c:pt idx="13">
                  <c:v>4.7699999999999996</c:v>
                </c:pt>
                <c:pt idx="14">
                  <c:v>4.76</c:v>
                </c:pt>
                <c:pt idx="15">
                  <c:v>4.92</c:v>
                </c:pt>
                <c:pt idx="16">
                  <c:v>4.75</c:v>
                </c:pt>
                <c:pt idx="17">
                  <c:v>5.13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F-459C-9D8C-B01E7B222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3576127"/>
        <c:axId val="1283580927"/>
      </c:barChart>
      <c:catAx>
        <c:axId val="12835761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580927"/>
        <c:crosses val="autoZero"/>
        <c:auto val="1"/>
        <c:lblAlgn val="ctr"/>
        <c:lblOffset val="100"/>
        <c:noMultiLvlLbl val="0"/>
      </c:catAx>
      <c:valAx>
        <c:axId val="128358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TFR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57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82550</xdr:rowOff>
    </xdr:from>
    <xdr:to>
      <xdr:col>13</xdr:col>
      <xdr:colOff>231775</xdr:colOff>
      <xdr:row>17</xdr:row>
      <xdr:rowOff>63500</xdr:rowOff>
    </xdr:to>
    <xdr:graphicFrame macro="">
      <xdr:nvGraphicFramePr>
        <xdr:cNvPr id="3" name="Chart 2" descr="%&#10;">
          <a:extLst>
            <a:ext uri="{FF2B5EF4-FFF2-40B4-BE49-F238E27FC236}">
              <a16:creationId xmlns:a16="http://schemas.microsoft.com/office/drawing/2014/main" id="{9F863710-FE2F-F15D-1AA6-AC93FF3AB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046AA-4CFE-4930-B155-DD3D72497F0F}">
  <dimension ref="A1:AB9"/>
  <sheetViews>
    <sheetView topLeftCell="G1" zoomScale="80" zoomScaleNormal="80" workbookViewId="0">
      <selection activeCell="W8" sqref="W8:W9"/>
    </sheetView>
  </sheetViews>
  <sheetFormatPr defaultRowHeight="14.5" x14ac:dyDescent="0.35"/>
  <cols>
    <col min="2" max="2" width="10.1796875" style="4" customWidth="1"/>
    <col min="3" max="3" width="9.81640625" style="5" customWidth="1"/>
    <col min="4" max="10" width="8.7265625" style="5"/>
    <col min="11" max="11" width="8.7265625" style="6"/>
    <col min="12" max="12" width="8.7265625" style="10"/>
    <col min="13" max="18" width="8.7265625" style="11"/>
    <col min="19" max="19" width="10" style="11" customWidth="1"/>
    <col min="20" max="20" width="8.7265625" style="11"/>
    <col min="21" max="21" width="8.7265625" style="12"/>
    <col min="22" max="22" width="9.26953125" customWidth="1"/>
  </cols>
  <sheetData>
    <row r="1" spans="1:28" x14ac:dyDescent="0.35">
      <c r="A1" t="s">
        <v>0</v>
      </c>
      <c r="B1" s="1" t="s">
        <v>15</v>
      </c>
      <c r="C1" s="13" t="s">
        <v>13</v>
      </c>
      <c r="D1" s="13" t="s">
        <v>14</v>
      </c>
      <c r="E1" s="13" t="s">
        <v>24</v>
      </c>
      <c r="F1" s="13" t="s">
        <v>23</v>
      </c>
      <c r="G1" s="13" t="s">
        <v>21</v>
      </c>
      <c r="H1" s="13" t="s">
        <v>22</v>
      </c>
      <c r="I1" s="13" t="s">
        <v>20</v>
      </c>
      <c r="J1" s="2" t="s">
        <v>25</v>
      </c>
      <c r="K1" s="3" t="s">
        <v>12</v>
      </c>
      <c r="L1" s="7" t="s">
        <v>16</v>
      </c>
      <c r="M1" s="14" t="s">
        <v>17</v>
      </c>
      <c r="N1" s="14" t="s">
        <v>18</v>
      </c>
      <c r="O1" s="14" t="s">
        <v>19</v>
      </c>
      <c r="P1" s="14" t="s">
        <v>38</v>
      </c>
      <c r="Q1" s="14" t="s">
        <v>37</v>
      </c>
      <c r="R1" s="14" t="s">
        <v>36</v>
      </c>
      <c r="S1" s="14" t="s">
        <v>35</v>
      </c>
      <c r="T1" s="8" t="s">
        <v>39</v>
      </c>
      <c r="U1" s="9" t="s">
        <v>40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</row>
    <row r="2" spans="1:28" x14ac:dyDescent="0.35">
      <c r="A2">
        <v>1920</v>
      </c>
    </row>
    <row r="3" spans="1:28" x14ac:dyDescent="0.35">
      <c r="A3">
        <v>1930</v>
      </c>
      <c r="B3" s="4">
        <v>62</v>
      </c>
      <c r="C3" s="5">
        <v>12331</v>
      </c>
      <c r="D3" s="5">
        <v>130694</v>
      </c>
      <c r="E3" s="5">
        <v>203084</v>
      </c>
      <c r="F3" s="5">
        <v>153735</v>
      </c>
      <c r="G3" s="5">
        <v>99283</v>
      </c>
      <c r="H3" s="5">
        <v>39403</v>
      </c>
      <c r="I3" s="5">
        <v>5297</v>
      </c>
      <c r="J3" s="5">
        <v>1065</v>
      </c>
      <c r="K3" s="6">
        <v>15906</v>
      </c>
      <c r="L3" s="10">
        <v>218960</v>
      </c>
      <c r="M3" s="11">
        <f>214837+221670+217805+245739+208400</f>
        <v>1108451</v>
      </c>
      <c r="N3" s="11">
        <f>208400+251441+191201+225368+212930</f>
        <v>1089340</v>
      </c>
      <c r="O3" s="11">
        <f>214956+207787+192371+211112+162222</f>
        <v>988448</v>
      </c>
      <c r="P3" s="11">
        <f>248801+129391+163377+152208+157254</f>
        <v>851031</v>
      </c>
      <c r="Q3" s="11">
        <f>160732+160702+136669+162398+124707</f>
        <v>745208</v>
      </c>
      <c r="R3" s="11">
        <f>212580+100833+141120+115188+127711</f>
        <v>697432</v>
      </c>
      <c r="S3" s="11">
        <f>140619+125426+104666+132329+98642</f>
        <v>601682</v>
      </c>
      <c r="V3">
        <f>(C3/M3)*1000</f>
        <v>11.124533245041954</v>
      </c>
      <c r="W3">
        <f t="shared" ref="W3:AB4" si="0">(D3/N3)*1000</f>
        <v>119.97539794738098</v>
      </c>
      <c r="X3">
        <f t="shared" si="0"/>
        <v>205.45744439768202</v>
      </c>
      <c r="Y3">
        <f t="shared" si="0"/>
        <v>180.64559340376553</v>
      </c>
      <c r="Z3">
        <f t="shared" si="0"/>
        <v>133.22857510923126</v>
      </c>
      <c r="AA3">
        <f t="shared" si="0"/>
        <v>56.497264249417867</v>
      </c>
      <c r="AB3">
        <f t="shared" si="0"/>
        <v>8.8036537573003688</v>
      </c>
    </row>
    <row r="4" spans="1:28" x14ac:dyDescent="0.35">
      <c r="A4">
        <f>10+A3</f>
        <v>1940</v>
      </c>
      <c r="B4" s="4">
        <v>35</v>
      </c>
      <c r="C4" s="5">
        <v>10750</v>
      </c>
      <c r="D4" s="5">
        <v>100674</v>
      </c>
      <c r="E4" s="5">
        <v>197179</v>
      </c>
      <c r="F4" s="5">
        <v>158714</v>
      </c>
      <c r="G4" s="5">
        <v>95523</v>
      </c>
      <c r="H4" s="5">
        <v>34927</v>
      </c>
      <c r="I4" s="5">
        <v>4889</v>
      </c>
      <c r="J4" s="5">
        <v>613</v>
      </c>
      <c r="K4" s="6">
        <v>24453</v>
      </c>
      <c r="L4" s="10">
        <v>272052</v>
      </c>
      <c r="M4" s="11">
        <f>255403+262002+260298+278881+241030</f>
        <v>1297614</v>
      </c>
      <c r="N4" s="11">
        <f>267402+204556+236024+230990+228232</f>
        <v>1167204</v>
      </c>
      <c r="O4" s="11">
        <f>233437+227290+218238+236256+192121</f>
        <v>1107342</v>
      </c>
      <c r="P4" s="11">
        <f>264336+158312+199456+188393+183075</f>
        <v>993572</v>
      </c>
      <c r="Q4" s="11">
        <f>192307+190248+174546+192406+158618</f>
        <v>908125</v>
      </c>
      <c r="R4" s="11">
        <f>244108+121517+154172+138849+149161</f>
        <v>807807</v>
      </c>
      <c r="S4" s="11">
        <f>161732+142045+129481+150842+117703</f>
        <v>701803</v>
      </c>
      <c r="V4">
        <f>(C4/M4)*1000</f>
        <v>8.2844358954203638</v>
      </c>
      <c r="W4">
        <f t="shared" si="0"/>
        <v>86.252274666639252</v>
      </c>
      <c r="X4">
        <f t="shared" si="0"/>
        <v>178.06513254261105</v>
      </c>
      <c r="Y4">
        <f t="shared" si="0"/>
        <v>159.74081395208401</v>
      </c>
      <c r="Z4">
        <f t="shared" si="0"/>
        <v>105.18706125258088</v>
      </c>
      <c r="AA4">
        <f t="shared" si="0"/>
        <v>43.236812753541379</v>
      </c>
      <c r="AB4">
        <f t="shared" si="0"/>
        <v>6.9663424066297805</v>
      </c>
    </row>
    <row r="5" spans="1:28" x14ac:dyDescent="0.35">
      <c r="A5" t="s">
        <v>11</v>
      </c>
      <c r="C5" s="5">
        <v>5</v>
      </c>
      <c r="D5" s="5">
        <v>5</v>
      </c>
      <c r="E5" s="5">
        <v>5</v>
      </c>
      <c r="F5" s="5">
        <v>5</v>
      </c>
      <c r="G5" s="5">
        <v>5</v>
      </c>
      <c r="H5" s="5">
        <v>5</v>
      </c>
      <c r="I5" s="5">
        <v>5</v>
      </c>
    </row>
    <row r="7" spans="1:28" x14ac:dyDescent="0.35">
      <c r="V7" s="15" t="s">
        <v>33</v>
      </c>
      <c r="W7" s="15">
        <f>SUM(V3:AB3)</f>
        <v>715.73246210981995</v>
      </c>
      <c r="X7" s="15">
        <f>SUM(V4:AB4)</f>
        <v>587.73287346950667</v>
      </c>
    </row>
    <row r="8" spans="1:28" x14ac:dyDescent="0.35">
      <c r="V8" t="s">
        <v>41</v>
      </c>
      <c r="W8">
        <f>(5*W7)/1000</f>
        <v>3.5786623105490998</v>
      </c>
    </row>
    <row r="9" spans="1:28" x14ac:dyDescent="0.35">
      <c r="V9" t="s">
        <v>34</v>
      </c>
      <c r="W9">
        <f>(5*X7)/1000</f>
        <v>2.9386643673475334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115C-C70E-40EF-8634-7ED232B62122}">
  <dimension ref="A1:C19"/>
  <sheetViews>
    <sheetView tabSelected="1" workbookViewId="0">
      <selection activeCell="K19" sqref="K19"/>
    </sheetView>
  </sheetViews>
  <sheetFormatPr defaultRowHeight="14.5" x14ac:dyDescent="0.35"/>
  <sheetData>
    <row r="1" spans="1:3" s="16" customFormat="1" x14ac:dyDescent="0.35">
      <c r="A1" s="16" t="s">
        <v>43</v>
      </c>
      <c r="B1" s="16" t="s">
        <v>0</v>
      </c>
      <c r="C1" s="16" t="s">
        <v>42</v>
      </c>
    </row>
    <row r="2" spans="1:3" x14ac:dyDescent="0.35">
      <c r="A2" t="s">
        <v>44</v>
      </c>
      <c r="B2" s="17">
        <v>2020</v>
      </c>
      <c r="C2">
        <v>1.2364919999999999</v>
      </c>
    </row>
    <row r="3" spans="1:3" x14ac:dyDescent="0.35">
      <c r="A3" t="s">
        <v>44</v>
      </c>
      <c r="B3" s="17">
        <f>-10+B2</f>
        <v>2010</v>
      </c>
      <c r="C3">
        <v>1.375176</v>
      </c>
    </row>
    <row r="4" spans="1:3" x14ac:dyDescent="0.35">
      <c r="A4" t="s">
        <v>44</v>
      </c>
      <c r="B4" s="17">
        <f t="shared" ref="B4:B8" si="0">-10+B3</f>
        <v>2000</v>
      </c>
      <c r="C4">
        <v>1.215916</v>
      </c>
    </row>
    <row r="5" spans="1:3" x14ac:dyDescent="0.35">
      <c r="A5" t="s">
        <v>44</v>
      </c>
      <c r="B5" s="17">
        <f t="shared" si="0"/>
        <v>1990</v>
      </c>
      <c r="C5">
        <v>1.358806</v>
      </c>
    </row>
    <row r="6" spans="1:3" x14ac:dyDescent="0.35">
      <c r="A6" t="s">
        <v>44</v>
      </c>
      <c r="B6" s="17">
        <f t="shared" si="0"/>
        <v>1980</v>
      </c>
      <c r="C6">
        <v>2.2139730000000002</v>
      </c>
    </row>
    <row r="7" spans="1:3" x14ac:dyDescent="0.35">
      <c r="A7" t="s">
        <v>44</v>
      </c>
      <c r="B7" s="18">
        <f t="shared" si="0"/>
        <v>1970</v>
      </c>
      <c r="C7" s="19">
        <v>2.828519</v>
      </c>
    </row>
    <row r="8" spans="1:3" x14ac:dyDescent="0.35">
      <c r="A8" t="s">
        <v>44</v>
      </c>
      <c r="B8" s="18">
        <f t="shared" si="0"/>
        <v>1960</v>
      </c>
      <c r="C8" s="19">
        <v>2.7825820000000001</v>
      </c>
    </row>
    <row r="9" spans="1:3" x14ac:dyDescent="0.35">
      <c r="A9" t="s">
        <v>44</v>
      </c>
      <c r="B9" s="18">
        <v>1950</v>
      </c>
      <c r="C9" s="19">
        <v>2.4704269999999999</v>
      </c>
    </row>
    <row r="10" spans="1:3" x14ac:dyDescent="0.35">
      <c r="A10" t="s">
        <v>45</v>
      </c>
      <c r="B10" s="19">
        <v>1940</v>
      </c>
      <c r="C10" s="19">
        <v>2.9386643673475334</v>
      </c>
    </row>
    <row r="11" spans="1:3" x14ac:dyDescent="0.35">
      <c r="A11" t="s">
        <v>45</v>
      </c>
      <c r="B11">
        <v>1930</v>
      </c>
      <c r="C11">
        <v>3.5786623105490998</v>
      </c>
    </row>
    <row r="12" spans="1:3" x14ac:dyDescent="0.35">
      <c r="A12" t="s">
        <v>46</v>
      </c>
      <c r="B12">
        <v>1920</v>
      </c>
      <c r="C12">
        <v>4.17</v>
      </c>
    </row>
    <row r="13" spans="1:3" x14ac:dyDescent="0.35">
      <c r="A13" t="s">
        <v>46</v>
      </c>
      <c r="B13">
        <v>1910</v>
      </c>
      <c r="C13">
        <v>4.5199999999999996</v>
      </c>
    </row>
    <row r="14" spans="1:3" x14ac:dyDescent="0.35">
      <c r="A14" t="s">
        <v>46</v>
      </c>
      <c r="B14">
        <v>1900</v>
      </c>
      <c r="C14">
        <v>4.54</v>
      </c>
    </row>
    <row r="15" spans="1:3" x14ac:dyDescent="0.35">
      <c r="A15" t="s">
        <v>46</v>
      </c>
      <c r="B15">
        <v>1890</v>
      </c>
      <c r="C15">
        <v>4.7699999999999996</v>
      </c>
    </row>
    <row r="16" spans="1:3" x14ac:dyDescent="0.35">
      <c r="A16" t="s">
        <v>46</v>
      </c>
      <c r="B16">
        <v>1880</v>
      </c>
      <c r="C16">
        <v>4.76</v>
      </c>
    </row>
    <row r="17" spans="1:3" x14ac:dyDescent="0.35">
      <c r="A17" t="s">
        <v>46</v>
      </c>
      <c r="B17">
        <v>1870</v>
      </c>
      <c r="C17">
        <v>4.92</v>
      </c>
    </row>
    <row r="18" spans="1:3" x14ac:dyDescent="0.35">
      <c r="A18" t="s">
        <v>46</v>
      </c>
      <c r="B18">
        <v>1860</v>
      </c>
      <c r="C18">
        <v>4.75</v>
      </c>
    </row>
    <row r="19" spans="1:3" x14ac:dyDescent="0.35">
      <c r="A19" t="s">
        <v>46</v>
      </c>
      <c r="B19">
        <v>1850</v>
      </c>
      <c r="C19">
        <v>5.13</v>
      </c>
    </row>
  </sheetData>
  <sortState xmlns:xlrd2="http://schemas.microsoft.com/office/spreadsheetml/2017/richdata2" ref="A2:C13">
    <sortCondition descending="1" ref="B1:B1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F03A4-D2CD-4D06-B38F-9259A146CEC4}">
  <dimension ref="A1:C10"/>
  <sheetViews>
    <sheetView workbookViewId="0">
      <selection activeCell="B1" sqref="B1"/>
    </sheetView>
  </sheetViews>
  <sheetFormatPr defaultRowHeight="14.5" x14ac:dyDescent="0.35"/>
  <cols>
    <col min="2" max="2" width="11.08984375" customWidth="1"/>
  </cols>
  <sheetData>
    <row r="1" spans="1:3" x14ac:dyDescent="0.35">
      <c r="A1">
        <v>1930</v>
      </c>
      <c r="B1" t="s">
        <v>1</v>
      </c>
      <c r="C1">
        <v>62</v>
      </c>
    </row>
    <row r="2" spans="1:3" x14ac:dyDescent="0.35">
      <c r="A2">
        <v>1930</v>
      </c>
      <c r="B2" t="s">
        <v>2</v>
      </c>
      <c r="C2">
        <v>12331</v>
      </c>
    </row>
    <row r="3" spans="1:3" x14ac:dyDescent="0.35">
      <c r="A3">
        <v>1930</v>
      </c>
      <c r="B3" t="s">
        <v>3</v>
      </c>
      <c r="C3">
        <v>130694</v>
      </c>
    </row>
    <row r="4" spans="1:3" x14ac:dyDescent="0.35">
      <c r="A4">
        <v>1930</v>
      </c>
      <c r="B4" t="s">
        <v>4</v>
      </c>
      <c r="C4">
        <v>203084</v>
      </c>
    </row>
    <row r="5" spans="1:3" x14ac:dyDescent="0.35">
      <c r="A5">
        <v>1930</v>
      </c>
      <c r="B5" t="s">
        <v>5</v>
      </c>
      <c r="C5">
        <v>153735</v>
      </c>
    </row>
    <row r="6" spans="1:3" x14ac:dyDescent="0.35">
      <c r="A6">
        <v>1930</v>
      </c>
      <c r="B6" t="s">
        <v>6</v>
      </c>
      <c r="C6">
        <v>99283</v>
      </c>
    </row>
    <row r="7" spans="1:3" x14ac:dyDescent="0.35">
      <c r="A7">
        <v>1930</v>
      </c>
      <c r="B7" t="s">
        <v>7</v>
      </c>
      <c r="C7">
        <v>39403</v>
      </c>
    </row>
    <row r="8" spans="1:3" x14ac:dyDescent="0.35">
      <c r="A8">
        <v>1930</v>
      </c>
      <c r="B8" t="s">
        <v>8</v>
      </c>
      <c r="C8">
        <v>5297</v>
      </c>
    </row>
    <row r="9" spans="1:3" x14ac:dyDescent="0.35">
      <c r="A9">
        <v>1930</v>
      </c>
      <c r="B9" t="s">
        <v>9</v>
      </c>
      <c r="C9">
        <v>1065</v>
      </c>
    </row>
    <row r="10" spans="1:3" x14ac:dyDescent="0.35">
      <c r="A10">
        <v>1930</v>
      </c>
      <c r="B10" t="s">
        <v>10</v>
      </c>
      <c r="C10">
        <v>15906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 Martinez Gema (gema.laxmartinez)</dc:creator>
  <cp:lastModifiedBy>Lax Martinez Gema (gema.laxmartinez)</cp:lastModifiedBy>
  <dcterms:created xsi:type="dcterms:W3CDTF">2024-06-26T13:50:07Z</dcterms:created>
  <dcterms:modified xsi:type="dcterms:W3CDTF">2024-06-26T15:41:23Z</dcterms:modified>
</cp:coreProperties>
</file>